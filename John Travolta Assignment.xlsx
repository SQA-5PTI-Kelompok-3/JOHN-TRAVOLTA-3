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taq\Downloads\"/>
    </mc:Choice>
  </mc:AlternateContent>
  <xr:revisionPtr revIDLastSave="0" documentId="11_455DD027F443A6DD7018EECFF76AFDE471693C5C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rhitungan Gaji" sheetId="1" r:id="rId1"/>
    <sheet name="Perhitungan Tabungan" sheetId="2" r:id="rId2"/>
    <sheet name="Test Case" sheetId="3" r:id="rId3"/>
    <sheet name="Algoritm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  <c r="B9" i="1"/>
  <c r="B11" i="1" s="1"/>
  <c r="B13" i="1" s="1"/>
  <c r="B3" i="2" s="1"/>
  <c r="B6" i="2" l="1"/>
  <c r="B5" i="2"/>
  <c r="B7" i="2" s="1"/>
</calcChain>
</file>

<file path=xl/sharedStrings.xml><?xml version="1.0" encoding="utf-8"?>
<sst xmlns="http://schemas.openxmlformats.org/spreadsheetml/2006/main" count="48" uniqueCount="46">
  <si>
    <t>PERHITUNGAN TABUNGAN JOHN TRAVOLTA</t>
  </si>
  <si>
    <t>JOHN TRAVOLTA ASSIGNMENT</t>
  </si>
  <si>
    <t>No</t>
  </si>
  <si>
    <t>ALGORITMA</t>
  </si>
  <si>
    <t>Skenario</t>
  </si>
  <si>
    <t>Input</t>
  </si>
  <si>
    <t>Expected Output</t>
  </si>
  <si>
    <t>1. Input jumlah jam kerja</t>
  </si>
  <si>
    <t>2. Jika jam kerja &lt;= 40, gaji = jam kerja x rate</t>
  </si>
  <si>
    <t>3. Jika jam kerja &gt; 40, hitung jam lembur</t>
  </si>
  <si>
    <t>4. Total gaji = gaji normal + gaji lembur</t>
  </si>
  <si>
    <t>Jam kerja normal</t>
  </si>
  <si>
    <t>40 jam</t>
  </si>
  <si>
    <t>5. Bandingkan pemasukan dan pengeluaran</t>
  </si>
  <si>
    <t>Rp600.000</t>
  </si>
  <si>
    <t>6. Tampilkan status tabungan</t>
  </si>
  <si>
    <t>Jam kerja lembur</t>
  </si>
  <si>
    <t>52 jam</t>
  </si>
  <si>
    <t>Rp870.000</t>
  </si>
  <si>
    <t>Lembur tinggi</t>
  </si>
  <si>
    <t>60 jam</t>
  </si>
  <si>
    <t>Rp1.050.000</t>
  </si>
  <si>
    <t>Pemasukan (Gaji)</t>
  </si>
  <si>
    <t>Bisa menabung</t>
  </si>
  <si>
    <t>870000 ; 600000</t>
  </si>
  <si>
    <t>Bisa menabung Rp270.000</t>
  </si>
  <si>
    <t>Parameter</t>
  </si>
  <si>
    <t>Nilai</t>
  </si>
  <si>
    <t>Tidak bisa menabung</t>
  </si>
  <si>
    <t>600000 ; 600000</t>
  </si>
  <si>
    <t>Cari tambahan</t>
  </si>
  <si>
    <t>400000 ; 700000</t>
  </si>
  <si>
    <t>Jam Kerja Normal</t>
  </si>
  <si>
    <t>Rate Normal/Jam</t>
  </si>
  <si>
    <t>Rate Lembur</t>
  </si>
  <si>
    <t>1.5 x rate normal</t>
  </si>
  <si>
    <t>Input Jam Kerja</t>
  </si>
  <si>
    <t>Jam Normal</t>
  </si>
  <si>
    <t>Pengeluaran</t>
  </si>
  <si>
    <t>Selisih</t>
  </si>
  <si>
    <t>Jam Lembur</t>
  </si>
  <si>
    <t>Status</t>
  </si>
  <si>
    <t>Gaji Normal</t>
  </si>
  <si>
    <t>Gaji Lembur</t>
  </si>
  <si>
    <t>Total Gaji</t>
  </si>
  <si>
    <t>Jumlah Tabungan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</si>
</sst>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4" fillId="0" borderId="0" xfId="0" applyFont="1" applyAlignment="1">
      <alignment horizontal="right"/>
    </xf>
    <xf numFmtId="0" fontId="1" fillId="0" borderId="2" xfId="0" applyFont="1" applyBorder="1" applyAlignment="1">
      <alignment horizont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8"/>
  <sheetViews>
    <sheetView tabSelected="1" workbookViewId="0">
      <selection sqref="A1:B1"/>
    </sheetView>
  </sheetViews>
  <sheetFormatPr defaultColWidth="14.453125" defaultRowHeight="15" customHeight="1"/>
  <cols>
    <col min="1" max="1" width="29" customWidth="1"/>
    <col min="2" max="2" width="22" customWidth="1"/>
    <col min="3" max="26" width="8.7265625" customWidth="1"/>
  </cols>
  <sheetData>
    <row r="1" spans="1:2" ht="14.5">
      <c r="A1" s="6" t="s">
        <v>1</v>
      </c>
      <c r="B1" s="7"/>
    </row>
    <row r="2" spans="1:2" ht="14.5">
      <c r="A2" s="2"/>
      <c r="B2" s="2"/>
    </row>
    <row r="3" spans="1:2" ht="14.5">
      <c r="A3" s="2" t="s">
        <v>26</v>
      </c>
      <c r="B3" s="3" t="s">
        <v>27</v>
      </c>
    </row>
    <row r="4" spans="1:2" ht="14.5">
      <c r="A4" s="2" t="s">
        <v>32</v>
      </c>
      <c r="B4" s="3">
        <v>40</v>
      </c>
    </row>
    <row r="5" spans="1:2" ht="14.5">
      <c r="A5" s="2" t="s">
        <v>33</v>
      </c>
      <c r="B5" s="3">
        <v>15000</v>
      </c>
    </row>
    <row r="6" spans="1:2" ht="14.5">
      <c r="A6" s="2" t="s">
        <v>34</v>
      </c>
      <c r="B6" s="3" t="s">
        <v>35</v>
      </c>
    </row>
    <row r="7" spans="1:2" ht="14.5">
      <c r="A7" s="2"/>
      <c r="B7" s="3"/>
    </row>
    <row r="8" spans="1:2" ht="14.5">
      <c r="A8" s="2" t="s">
        <v>36</v>
      </c>
      <c r="B8" s="3">
        <v>52</v>
      </c>
    </row>
    <row r="9" spans="1:2" ht="14.5">
      <c r="A9" s="2" t="s">
        <v>37</v>
      </c>
      <c r="B9" s="3">
        <f>MIN(B8,B4)</f>
        <v>40</v>
      </c>
    </row>
    <row r="10" spans="1:2" ht="14.5">
      <c r="A10" s="2" t="s">
        <v>40</v>
      </c>
      <c r="B10" s="3">
        <f>MAX(B8-B4,0)</f>
        <v>12</v>
      </c>
    </row>
    <row r="11" spans="1:2" ht="14.5">
      <c r="A11" s="2" t="s">
        <v>42</v>
      </c>
      <c r="B11" s="3">
        <f>B9*B5</f>
        <v>600000</v>
      </c>
    </row>
    <row r="12" spans="1:2" ht="14.5">
      <c r="A12" s="2" t="s">
        <v>43</v>
      </c>
      <c r="B12" s="3">
        <f>B10*(B5*1.5)</f>
        <v>270000</v>
      </c>
    </row>
    <row r="13" spans="1:2" ht="14.5">
      <c r="A13" s="2" t="s">
        <v>44</v>
      </c>
      <c r="B13" s="3">
        <f>B11+B12</f>
        <v>870000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8"/>
  <sheetViews>
    <sheetView workbookViewId="0"/>
  </sheetViews>
  <sheetFormatPr defaultColWidth="14.453125" defaultRowHeight="15" customHeight="1"/>
  <cols>
    <col min="1" max="2" width="35" customWidth="1"/>
    <col min="3" max="26" width="8.7265625" customWidth="1"/>
  </cols>
  <sheetData>
    <row r="1" spans="1:2" ht="14.5">
      <c r="A1" s="6" t="s">
        <v>0</v>
      </c>
      <c r="B1" s="7"/>
    </row>
    <row r="2" spans="1:2" ht="14.5">
      <c r="A2" s="2"/>
      <c r="B2" s="2"/>
    </row>
    <row r="3" spans="1:2" ht="14.5">
      <c r="A3" s="2" t="s">
        <v>22</v>
      </c>
      <c r="B3" s="4">
        <f>'Perhitungan Gaji'!B13</f>
        <v>870000</v>
      </c>
    </row>
    <row r="4" spans="1:2" ht="14.5">
      <c r="A4" s="2" t="s">
        <v>38</v>
      </c>
      <c r="B4" s="4">
        <v>600000</v>
      </c>
    </row>
    <row r="5" spans="1:2" ht="14.5">
      <c r="A5" s="2" t="s">
        <v>39</v>
      </c>
      <c r="B5" s="4">
        <f>B3-B4</f>
        <v>270000</v>
      </c>
    </row>
    <row r="6" spans="1:2" ht="14.5">
      <c r="A6" s="2" t="s">
        <v>41</v>
      </c>
      <c r="B6" s="3" t="str">
        <f>IF(B3&gt;B4,"Bisa menabung",IF(B3=B4,"Tidak bisa menabung","Cari tambahan"))</f>
        <v>Bisa menabung</v>
      </c>
    </row>
    <row r="7" spans="1:2" ht="14.5">
      <c r="A7" s="2" t="s">
        <v>45</v>
      </c>
      <c r="B7" s="4">
        <f>IF(B3&gt;B4,B5,0)</f>
        <v>270000</v>
      </c>
    </row>
    <row r="8" spans="1:2" ht="14.5">
      <c r="B8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B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/>
  <cols>
    <col min="1" max="1" width="7" customWidth="1"/>
    <col min="2" max="2" width="24" customWidth="1"/>
    <col min="3" max="3" width="20" customWidth="1"/>
    <col min="4" max="4" width="28" customWidth="1"/>
    <col min="5" max="26" width="8.7265625" customWidth="1"/>
  </cols>
  <sheetData>
    <row r="1" spans="1:4" ht="14.5">
      <c r="A1" s="1" t="s">
        <v>2</v>
      </c>
      <c r="B1" s="1" t="s">
        <v>4</v>
      </c>
      <c r="C1" s="1" t="s">
        <v>5</v>
      </c>
      <c r="D1" s="1" t="s">
        <v>6</v>
      </c>
    </row>
    <row r="2" spans="1:4" ht="14.5">
      <c r="A2" s="2">
        <v>1</v>
      </c>
      <c r="B2" s="2" t="s">
        <v>11</v>
      </c>
      <c r="C2" s="2" t="s">
        <v>12</v>
      </c>
      <c r="D2" s="2" t="s">
        <v>14</v>
      </c>
    </row>
    <row r="3" spans="1:4" ht="14.5">
      <c r="A3" s="2">
        <v>2</v>
      </c>
      <c r="B3" s="2" t="s">
        <v>16</v>
      </c>
      <c r="C3" s="2" t="s">
        <v>17</v>
      </c>
      <c r="D3" s="2" t="s">
        <v>18</v>
      </c>
    </row>
    <row r="4" spans="1:4" ht="14.5">
      <c r="A4" s="2">
        <v>3</v>
      </c>
      <c r="B4" s="2" t="s">
        <v>19</v>
      </c>
      <c r="C4" s="2" t="s">
        <v>20</v>
      </c>
      <c r="D4" s="2" t="s">
        <v>21</v>
      </c>
    </row>
    <row r="5" spans="1:4" ht="14.5">
      <c r="A5" s="2">
        <v>4</v>
      </c>
      <c r="B5" s="2" t="s">
        <v>23</v>
      </c>
      <c r="C5" s="2" t="s">
        <v>24</v>
      </c>
      <c r="D5" s="2" t="s">
        <v>25</v>
      </c>
    </row>
    <row r="6" spans="1:4" ht="14.5">
      <c r="A6" s="2">
        <v>5</v>
      </c>
      <c r="B6" s="2" t="s">
        <v>28</v>
      </c>
      <c r="C6" s="2" t="s">
        <v>29</v>
      </c>
      <c r="D6" s="2" t="s">
        <v>28</v>
      </c>
    </row>
    <row r="7" spans="1:4" ht="14.5">
      <c r="A7" s="2">
        <v>6</v>
      </c>
      <c r="B7" s="2" t="s">
        <v>30</v>
      </c>
      <c r="C7" s="2" t="s">
        <v>31</v>
      </c>
      <c r="D7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53125" defaultRowHeight="15" customHeight="1"/>
  <cols>
    <col min="1" max="1" width="35" customWidth="1"/>
    <col min="2" max="26" width="8.7265625" customWidth="1"/>
  </cols>
  <sheetData>
    <row r="1" spans="1:1" ht="14.5">
      <c r="A1" s="1" t="s">
        <v>3</v>
      </c>
    </row>
    <row r="2" spans="1:1" ht="14.5">
      <c r="A2" s="2" t="s">
        <v>7</v>
      </c>
    </row>
    <row r="3" spans="1:1" ht="29">
      <c r="A3" s="2" t="s">
        <v>8</v>
      </c>
    </row>
    <row r="4" spans="1:1" ht="14.5">
      <c r="A4" s="2" t="s">
        <v>9</v>
      </c>
    </row>
    <row r="5" spans="1:1" ht="14.5">
      <c r="A5" s="2" t="s">
        <v>10</v>
      </c>
    </row>
    <row r="6" spans="1:1" ht="29">
      <c r="A6" s="2" t="s">
        <v>13</v>
      </c>
    </row>
    <row r="7" spans="1:1" ht="14.5">
      <c r="A7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Perhitungan Gaji</vt:lpstr>
      <vt:lpstr>Perhitungan Tabungan</vt:lpstr>
      <vt:lpstr>Test Case</vt:lpstr>
      <vt:lpstr>Algoritma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Syahril Mutaqin</cp:lastModifiedBy>
  <dcterms:modified xsi:type="dcterms:W3CDTF">2026-09-22T02:30:20Z</dcterms:modified>
</cp:coreProperties>
</file>