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ji &amp; Tabungan" sheetId="1" state="visible" r:id="rId3"/>
    <sheet name="Skenario Variati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<sst xmlns="http://schemas.openxmlformats.org/spreadsheetml/2006/main" count="41" uniqueCount="40">
  <si>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PERHITUNGAN GAJI &amp; TABUNGAN - JOHN TRAVOLTA</t>
  </si>
  <si>
    <t xml:space="preserve">Sel biru (B4, B5, B6, B13) adalah INPUT - boleh diganti untuk mencoba kasus lain.</t>
  </si>
  <si>
    <t xml:space="preserve">Parameter</t>
  </si>
  <si>
    <t xml:space="preserve">Nilai</t>
  </si>
  <si>
    <t xml:space="preserve">Keterangan</t>
  </si>
  <si>
    <t xml:space="preserve">Jam kerja</t>
  </si>
  <si>
    <t xml:space="preserve">INPUT - ganti sesuai kasus (contoh: 40, 45, 52, 20)</t>
  </si>
  <si>
    <t xml:space="preserve">Jam normal maksimal</t>
  </si>
  <si>
    <t xml:space="preserve">INPUT - batas jam normal per minggu</t>
  </si>
  <si>
    <t xml:space="preserve">Rate normal (Rp/jam)</t>
  </si>
  <si>
    <t xml:space="preserve">INPUT - rate per jam</t>
  </si>
  <si>
    <t xml:space="preserve">Rate lembur (Rp/jam)</t>
  </si>
  <si>
    <t xml:space="preserve">1.5 x rate normal</t>
  </si>
  <si>
    <t xml:space="preserve">Jam lembur</t>
  </si>
  <si>
    <t xml:space="preserve">Jam di atas jam normal maksimal</t>
  </si>
  <si>
    <t xml:space="preserve">Jam normal (dihitung)</t>
  </si>
  <si>
    <t xml:space="preserve">Jam yang dibayar dengan rate normal</t>
  </si>
  <si>
    <t xml:space="preserve">Gaji normal</t>
  </si>
  <si>
    <t xml:space="preserve">Jam normal (dihitung) x rate normal</t>
  </si>
  <si>
    <t xml:space="preserve">Gaji lembur</t>
  </si>
  <si>
    <t xml:space="preserve">Jam lembur x rate lembur</t>
  </si>
  <si>
    <t xml:space="preserve">Total gaji</t>
  </si>
  <si>
    <t xml:space="preserve">Gaji normal + gaji lembur</t>
  </si>
  <si>
    <t xml:space="preserve">Pengeluaran (Rp)</t>
  </si>
  <si>
    <t xml:space="preserve">INPUT - pengeluaran minggu ini</t>
  </si>
  <si>
    <t xml:space="preserve">Status</t>
  </si>
  <si>
    <t xml:space="preserve">Perbandingan total gaji vs pengeluaran</t>
  </si>
  <si>
    <t xml:space="preserve">Tabungan / Kekurangan</t>
  </si>
  <si>
    <t xml:space="preserve">Selisih pemasukan dan pengeluaran</t>
  </si>
  <si>
    <t xml:space="preserve">SKENARIO VARIATIF - GAJI &amp; TABUNGAN</t>
  </si>
  <si>
    <t xml:space="preserve">Jam Kerja</t>
  </si>
  <si>
    <t xml:space="preserve">Jam Normal Maks</t>
  </si>
  <si>
    <t xml:space="preserve">Rate Normal</t>
  </si>
  <si>
    <t xml:space="preserve">Rate Lembur</t>
  </si>
  <si>
    <t xml:space="preserve">Jam Lembur</t>
  </si>
  <si>
    <t xml:space="preserve">Gaji Normal</t>
  </si>
  <si>
    <t xml:space="preserve">Gaji Lembur</t>
  </si>
  <si>
    <t xml:space="preserve">Total Gaji</t>
  </si>
  <si>
    <t xml:space="preserve">Pengeluaran</t>
  </si>
  <si>
    <t xml:space="preserve">Tabungan/Kekurangan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</si>
</sst>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p&quot;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52</v>
      </c>
      <c r="C4" s="6" t="s">
        <v>6</v>
      </c>
    </row>
    <row r="5" customFormat="false" ht="15" hidden="false" customHeight="false" outlineLevel="0" collapsed="false">
      <c r="A5" s="4" t="s">
        <v>7</v>
      </c>
      <c r="B5" s="5" t="n">
        <v>40</v>
      </c>
      <c r="C5" s="6" t="s">
        <v>8</v>
      </c>
    </row>
    <row r="6" customFormat="false" ht="15" hidden="false" customHeight="false" outlineLevel="0" collapsed="false">
      <c r="A6" s="4" t="s">
        <v>9</v>
      </c>
      <c r="B6" s="5" t="n">
        <v>15000</v>
      </c>
      <c r="C6" s="6" t="s">
        <v>10</v>
      </c>
    </row>
    <row r="7" customFormat="false" ht="15" hidden="false" customHeight="false" outlineLevel="0" collapsed="false">
      <c r="A7" s="4" t="s">
        <v>11</v>
      </c>
      <c r="B7" s="7" t="n">
        <f aca="false">B6*1.5</f>
        <v>22500</v>
      </c>
      <c r="C7" s="6" t="s">
        <v>12</v>
      </c>
    </row>
    <row r="8" customFormat="false" ht="15" hidden="false" customHeight="false" outlineLevel="0" collapsed="false">
      <c r="A8" s="4" t="s">
        <v>13</v>
      </c>
      <c r="B8" s="7" t="n">
        <f aca="false">IF(B4&gt;B5,B4-B5,0)</f>
        <v>12</v>
      </c>
      <c r="C8" s="6" t="s">
        <v>14</v>
      </c>
    </row>
    <row r="9" customFormat="false" ht="15" hidden="false" customHeight="false" outlineLevel="0" collapsed="false">
      <c r="A9" s="4" t="s">
        <v>15</v>
      </c>
      <c r="B9" s="7" t="n">
        <f aca="false">IF(B4&gt;B5,B5,B4)</f>
        <v>40</v>
      </c>
      <c r="C9" s="6" t="s">
        <v>16</v>
      </c>
    </row>
    <row r="10" customFormat="false" ht="15" hidden="false" customHeight="false" outlineLevel="0" collapsed="false">
      <c r="A10" s="4" t="s">
        <v>17</v>
      </c>
      <c r="B10" s="7" t="n">
        <f aca="false">B9*B6</f>
        <v>600000</v>
      </c>
      <c r="C10" s="6" t="s">
        <v>18</v>
      </c>
    </row>
    <row r="11" customFormat="false" ht="15" hidden="false" customHeight="false" outlineLevel="0" collapsed="false">
      <c r="A11" s="4" t="s">
        <v>19</v>
      </c>
      <c r="B11" s="7" t="n">
        <f aca="false">B8*B7</f>
        <v>270000</v>
      </c>
      <c r="C11" s="6" t="s">
        <v>20</v>
      </c>
    </row>
    <row r="12" customFormat="false" ht="15" hidden="false" customHeight="false" outlineLevel="0" collapsed="false">
      <c r="A12" s="4" t="s">
        <v>21</v>
      </c>
      <c r="B12" s="7" t="n">
        <f aca="false">B10+B11</f>
        <v>870000</v>
      </c>
      <c r="C12" s="6" t="s">
        <v>22</v>
      </c>
    </row>
    <row r="13" customFormat="false" ht="15" hidden="false" customHeight="false" outlineLevel="0" collapsed="false">
      <c r="A13" s="4" t="s">
        <v>23</v>
      </c>
      <c r="B13" s="5" t="n">
        <v>600000</v>
      </c>
      <c r="C13" s="6" t="s">
        <v>24</v>
      </c>
    </row>
    <row r="14" customFormat="false" ht="15" hidden="false" customHeight="false" outlineLevel="0" collapsed="false">
      <c r="A14" s="4" t="s">
        <v>25</v>
      </c>
      <c r="B14" s="7" t="str">
        <f aca="false">IF(B12&gt;B13,"Bisa menabung",IF(B12=B13,"Tidak bisa menabung","Cari tambahan"))</f>
        <v>Bisa menabung</v>
      </c>
      <c r="C14" s="6" t="s">
        <v>26</v>
      </c>
    </row>
    <row r="15" customFormat="false" ht="15" hidden="false" customHeight="false" outlineLevel="0" collapsed="false">
      <c r="A15" s="4" t="s">
        <v>27</v>
      </c>
      <c r="B15" s="7" t="n">
        <f aca="false">IF(B12&gt;B13,B12-B13,IF(B12=B13,0,B13-B12))</f>
        <v>270000</v>
      </c>
      <c r="C15" s="6" t="s">
        <v>28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7.35" hidden="false" customHeight="false" outlineLevel="0" collapsed="false">
      <c r="A1" s="1" t="s">
        <v>29</v>
      </c>
      <c r="B1" s="1"/>
      <c r="C1" s="1"/>
      <c r="D1" s="1"/>
      <c r="E1" s="1"/>
      <c r="F1" s="1"/>
      <c r="G1" s="1"/>
      <c r="H1" s="1"/>
    </row>
    <row r="3" customFormat="false" ht="28.35" hidden="false" customHeight="false" outlineLevel="0" collapsed="false">
      <c r="A3" s="8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8" t="s">
        <v>25</v>
      </c>
      <c r="K3" s="8" t="s">
        <v>39</v>
      </c>
    </row>
    <row r="4" customFormat="false" ht="15" hidden="false" customHeight="false" outlineLevel="0" collapsed="false">
      <c r="A4" s="9" t="n">
        <v>40</v>
      </c>
      <c r="B4" s="9" t="n">
        <v>40</v>
      </c>
      <c r="C4" s="5" t="n">
        <v>15000</v>
      </c>
      <c r="D4" s="10" t="n">
        <f aca="false">C4*1.5</f>
        <v>22500</v>
      </c>
      <c r="E4" s="6" t="n">
        <f aca="false">IF(A4&gt;B4,A4-B4,0)</f>
        <v>0</v>
      </c>
      <c r="F4" s="10" t="n">
        <f aca="false">IF(A4&gt;B4,B4,A4)*C4</f>
        <v>600000</v>
      </c>
      <c r="G4" s="10" t="n">
        <f aca="false">E4*D4</f>
        <v>0</v>
      </c>
      <c r="H4" s="10" t="n">
        <f aca="false">F4+G4</f>
        <v>600000</v>
      </c>
      <c r="I4" s="5" t="n">
        <v>600000</v>
      </c>
      <c r="J4" s="6" t="str">
        <f aca="false">IF(H4&gt;I4,"Bisa menabung",IF(H4=I4,"Tidak bisa menabung","Cari tambahan"))</f>
        <v>Tidak bisa menabung</v>
      </c>
      <c r="K4" s="10" t="n">
        <f aca="false">IF(H4&gt;I4,H4-I4,IF(H4=I4,0,I4-H4))</f>
        <v>0</v>
      </c>
    </row>
    <row r="5" customFormat="false" ht="15" hidden="false" customHeight="false" outlineLevel="0" collapsed="false">
      <c r="A5" s="9" t="n">
        <v>45</v>
      </c>
      <c r="B5" s="9" t="n">
        <v>40</v>
      </c>
      <c r="C5" s="5" t="n">
        <v>15000</v>
      </c>
      <c r="D5" s="10" t="n">
        <f aca="false">C5*1.5</f>
        <v>22500</v>
      </c>
      <c r="E5" s="6" t="n">
        <f aca="false">IF(A5&gt;B5,A5-B5,0)</f>
        <v>5</v>
      </c>
      <c r="F5" s="10" t="n">
        <f aca="false">IF(A5&gt;B5,B5,A5)*C5</f>
        <v>600000</v>
      </c>
      <c r="G5" s="10" t="n">
        <f aca="false">E5*D5</f>
        <v>112500</v>
      </c>
      <c r="H5" s="10" t="n">
        <f aca="false">F5+G5</f>
        <v>712500</v>
      </c>
      <c r="I5" s="5" t="n">
        <v>600000</v>
      </c>
      <c r="J5" s="6" t="str">
        <f aca="false">IF(H5&gt;I5,"Bisa menabung",IF(H5=I5,"Tidak bisa menabung","Cari tambahan"))</f>
        <v>Bisa menabung</v>
      </c>
      <c r="K5" s="10" t="n">
        <f aca="false">IF(H5&gt;I5,H5-I5,IF(H5=I5,0,I5-H5))</f>
        <v>112500</v>
      </c>
    </row>
    <row r="6" customFormat="false" ht="15" hidden="false" customHeight="false" outlineLevel="0" collapsed="false">
      <c r="A6" s="9" t="n">
        <v>52</v>
      </c>
      <c r="B6" s="9" t="n">
        <v>40</v>
      </c>
      <c r="C6" s="5" t="n">
        <v>15000</v>
      </c>
      <c r="D6" s="10" t="n">
        <f aca="false">C6*1.5</f>
        <v>22500</v>
      </c>
      <c r="E6" s="6" t="n">
        <f aca="false">IF(A6&gt;B6,A6-B6,0)</f>
        <v>12</v>
      </c>
      <c r="F6" s="10" t="n">
        <f aca="false">IF(A6&gt;B6,B6,A6)*C6</f>
        <v>600000</v>
      </c>
      <c r="G6" s="10" t="n">
        <f aca="false">E6*D6</f>
        <v>270000</v>
      </c>
      <c r="H6" s="10" t="n">
        <f aca="false">F6+G6</f>
        <v>870000</v>
      </c>
      <c r="I6" s="5" t="n">
        <v>600000</v>
      </c>
      <c r="J6" s="6" t="str">
        <f aca="false">IF(H6&gt;I6,"Bisa menabung",IF(H6=I6,"Tidak bisa menabung","Cari tambahan"))</f>
        <v>Bisa menabung</v>
      </c>
      <c r="K6" s="10" t="n">
        <f aca="false">IF(H6&gt;I6,H6-I6,IF(H6=I6,0,I6-H6))</f>
        <v>270000</v>
      </c>
    </row>
    <row r="7" customFormat="false" ht="15" hidden="false" customHeight="false" outlineLevel="0" collapsed="false">
      <c r="A7" s="9" t="n">
        <v>20</v>
      </c>
      <c r="B7" s="9" t="n">
        <v>40</v>
      </c>
      <c r="C7" s="5" t="n">
        <v>15000</v>
      </c>
      <c r="D7" s="10" t="n">
        <f aca="false">C7*1.5</f>
        <v>22500</v>
      </c>
      <c r="E7" s="6" t="n">
        <f aca="false">IF(A7&gt;B7,A7-B7,0)</f>
        <v>0</v>
      </c>
      <c r="F7" s="10" t="n">
        <f aca="false">IF(A7&gt;B7,B7,A7)*C7</f>
        <v>300000</v>
      </c>
      <c r="G7" s="10" t="n">
        <f aca="false">E7*D7</f>
        <v>0</v>
      </c>
      <c r="H7" s="10" t="n">
        <f aca="false">F7+G7</f>
        <v>300000</v>
      </c>
      <c r="I7" s="5" t="n">
        <v>600000</v>
      </c>
      <c r="J7" s="6" t="str">
        <f aca="false">IF(H7&gt;I7,"Bisa menabung",IF(H7=I7,"Tidak bisa menabung","Cari tambahan"))</f>
        <v>Cari tambahan</v>
      </c>
      <c r="K7" s="10" t="n">
        <f aca="false">IF(H7&gt;I7,H7-I7,IF(H7=I7,0,I7-H7))</f>
        <v>300000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2026-09-22T01:51:12Z</dcterms:created>
  <dc:creator>openpyxl</dc:creator>
  <dc:description/>
  <dc:language>en-US</dc:language>
  <cp:lastModifiedBy/>
  <dcterms:modified xsi:type="dcterms:W3CDTF">2026-09-22T01:51:12Z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